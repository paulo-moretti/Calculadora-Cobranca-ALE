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ior\Desktop\programação\ale_cobranca\Config\"/>
    </mc:Choice>
  </mc:AlternateContent>
  <xr:revisionPtr revIDLastSave="0" documentId="13_ncr:1_{1C3AF72D-1883-4634-9B44-A24FC26879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L35" i="1" s="1"/>
  <c r="J36" i="1"/>
  <c r="L36" i="1" s="1"/>
  <c r="J37" i="1"/>
  <c r="J38" i="1"/>
  <c r="J39" i="1"/>
  <c r="L39" i="1" s="1"/>
  <c r="J40" i="1"/>
  <c r="J41" i="1"/>
  <c r="J42" i="1"/>
  <c r="L42" i="1" s="1"/>
  <c r="J43" i="1"/>
  <c r="L43" i="1" s="1"/>
  <c r="J44" i="1"/>
  <c r="L44" i="1" s="1"/>
  <c r="J45" i="1"/>
  <c r="L45" i="1" s="1"/>
  <c r="L37" i="1"/>
  <c r="L38" i="1"/>
  <c r="L40" i="1"/>
  <c r="L41" i="1"/>
  <c r="L46" i="1" l="1"/>
  <c r="E23" i="1" l="1"/>
  <c r="B52" i="1"/>
  <c r="K48" i="1"/>
  <c r="N46" i="1" l="1"/>
  <c r="N22" i="1" s="1"/>
  <c r="E24" i="1" l="1"/>
  <c r="E25" i="1"/>
  <c r="E26" i="1"/>
  <c r="E27" i="1"/>
  <c r="E28" i="1"/>
  <c r="D46" i="1" l="1"/>
  <c r="I45" i="1" a="1"/>
  <c r="I45" i="1" s="1"/>
  <c r="F45" i="1"/>
  <c r="I44" i="1" a="1"/>
  <c r="I44" i="1" s="1"/>
  <c r="F44" i="1"/>
  <c r="G44" i="1" s="1"/>
  <c r="I43" i="1" a="1"/>
  <c r="I43" i="1" s="1"/>
  <c r="F43" i="1"/>
  <c r="I42" i="1" a="1"/>
  <c r="I42" i="1" s="1"/>
  <c r="F42" i="1"/>
  <c r="G42" i="1" s="1"/>
  <c r="I41" i="1" a="1"/>
  <c r="I41" i="1" s="1"/>
  <c r="F41" i="1"/>
  <c r="I40" i="1" a="1"/>
  <c r="I40" i="1" s="1"/>
  <c r="F40" i="1"/>
  <c r="G40" i="1" s="1"/>
  <c r="I39" i="1" a="1"/>
  <c r="I39" i="1" s="1"/>
  <c r="F39" i="1"/>
  <c r="I38" i="1" a="1"/>
  <c r="I38" i="1" s="1"/>
  <c r="F38" i="1"/>
  <c r="G38" i="1" s="1"/>
  <c r="I37" i="1" a="1"/>
  <c r="I37" i="1" s="1"/>
  <c r="F37" i="1"/>
  <c r="I36" i="1" a="1"/>
  <c r="I36" i="1" s="1"/>
  <c r="F36" i="1"/>
  <c r="G36" i="1" s="1"/>
  <c r="I35" i="1" a="1"/>
  <c r="I35" i="1" s="1"/>
  <c r="F35" i="1"/>
  <c r="H36" i="1" l="1"/>
  <c r="H42" i="1"/>
  <c r="H38" i="1"/>
  <c r="H44" i="1"/>
  <c r="H40" i="1"/>
  <c r="I46" i="1"/>
  <c r="G35" i="1"/>
  <c r="G37" i="1"/>
  <c r="G39" i="1"/>
  <c r="G41" i="1"/>
  <c r="G43" i="1"/>
  <c r="G45" i="1"/>
  <c r="F46" i="1"/>
  <c r="M42" i="1" l="1"/>
  <c r="O42" i="1" s="1"/>
  <c r="M44" i="1"/>
  <c r="O44" i="1" s="1"/>
  <c r="M38" i="1"/>
  <c r="O38" i="1" s="1"/>
  <c r="M40" i="1"/>
  <c r="O40" i="1" s="1"/>
  <c r="M36" i="1"/>
  <c r="O36" i="1" s="1"/>
  <c r="H43" i="1"/>
  <c r="H41" i="1"/>
  <c r="H37" i="1"/>
  <c r="H39" i="1"/>
  <c r="H45" i="1"/>
  <c r="G46" i="1"/>
  <c r="H35" i="1"/>
  <c r="M43" i="1" l="1"/>
  <c r="O43" i="1" s="1"/>
  <c r="M41" i="1"/>
  <c r="O41" i="1" s="1"/>
  <c r="M45" i="1"/>
  <c r="O45" i="1" s="1"/>
  <c r="M39" i="1"/>
  <c r="O39" i="1" s="1"/>
  <c r="M37" i="1"/>
  <c r="O37" i="1" s="1"/>
  <c r="H46" i="1"/>
  <c r="M35" i="1"/>
  <c r="O35" i="1" s="1"/>
  <c r="O46" i="1" l="1"/>
  <c r="J46" i="1"/>
  <c r="O48" i="1" l="1"/>
  <c r="N21" i="1"/>
  <c r="M46" i="1"/>
  <c r="O51" i="1" l="1"/>
  <c r="N23" i="1"/>
  <c r="N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<sst xmlns="http://schemas.openxmlformats.org/spreadsheetml/2006/main" count="40" uniqueCount="40">
  <si>
    <t>NITATORI SOCIEDADE DE ADVOGADOS
Rua Torres Homem, 145  -  Centro  -  Araçatuba-SP  Cep 16010-360
(18)   3305-8811      contato@nitatoriadvogados.com.br</t>
  </si>
  <si>
    <t>Atualização do Débito</t>
  </si>
  <si>
    <t>RESUMO DO CÁLCULO</t>
  </si>
  <si>
    <t>RÉU:</t>
  </si>
  <si>
    <t>Valor Honorários :</t>
  </si>
  <si>
    <t>Valor Corrigido :</t>
  </si>
  <si>
    <t>Juros :</t>
  </si>
  <si>
    <t>SELIC:</t>
  </si>
  <si>
    <t>Data</t>
  </si>
  <si>
    <t>ATS</t>
  </si>
  <si>
    <t>Valor
Corrigido</t>
  </si>
  <si>
    <t>AUTOR(A):</t>
  </si>
  <si>
    <t>CPF:</t>
  </si>
  <si>
    <t>Processo N°:</t>
  </si>
  <si>
    <t xml:space="preserve">Data da Citação: </t>
  </si>
  <si>
    <t>Honorários %:</t>
  </si>
  <si>
    <t>Metodologia do Cálculo:</t>
  </si>
  <si>
    <t>De acordo com o título executivojudicial, que determinou que o Adicional do ALE deve ser INTEGRADO 100% sobreo código 001.001, denominado de Salário Base Padrão e que ainda promovam todos efeitos pecuniários reflexos.</t>
  </si>
  <si>
    <t>Valor do ALE:</t>
  </si>
  <si>
    <t>Observação:</t>
  </si>
  <si>
    <t>Valor corrigido</t>
  </si>
  <si>
    <t>Diferença do ALE</t>
  </si>
  <si>
    <t>Reajustes</t>
  </si>
  <si>
    <t xml:space="preserve">ALE CORRIGIDO </t>
  </si>
  <si>
    <t>RETP</t>
  </si>
  <si>
    <t>ATS S/ ALE</t>
  </si>
  <si>
    <t>SEXTA S/ALE</t>
  </si>
  <si>
    <t>Total</t>
  </si>
  <si>
    <t>AÇÃO DE COBRANÇA DO A.L.E. - ADICIONAL DE LOCAL DE EXERCÍCIO 100%</t>
  </si>
  <si>
    <t>TOTAL BRUTO:</t>
  </si>
  <si>
    <t xml:space="preserve">Valor a ser corrigido </t>
  </si>
  <si>
    <t>índice de Correção Monetária</t>
  </si>
  <si>
    <t>PREV 11%</t>
  </si>
  <si>
    <t>Juros</t>
  </si>
  <si>
    <t>Valor a PAGAR</t>
  </si>
  <si>
    <t>IPCA-E até:</t>
  </si>
  <si>
    <t>Índice Final:</t>
  </si>
  <si>
    <t>Tabela utilizada:</t>
  </si>
  <si>
    <t>TAB.RESOLUÇÃO CNJ N°303/2019 - IPCA-E</t>
  </si>
  <si>
    <t>Total líquido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</si>
</sst>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R$&quot;\ #,##0;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00"/>
  </numFmts>
  <fonts count="8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charset val="204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2" fillId="0" borderId="0"/>
    <xf numFmtId="0" fontId="1" fillId="0" borderId="11"/>
    <xf numFmtId="43" fontId="1" fillId="0" borderId="11" applyFont="0" applyFill="0" applyBorder="0" applyAlignment="0" applyProtection="0"/>
    <xf numFmtId="9" fontId="3" fillId="0" borderId="0" applyFont="0" applyFill="0" applyBorder="0" applyAlignment="0" applyProtection="0"/>
  </cellStyleXfs>
  <cellXfs count="84">
    <xf numFmtId="0" fontId="0" fillId="0" borderId="0" xfId="0" applyAlignment="1">
      <alignment horizontal="left" vertical="top"/>
    </xf>
    <xf numFmtId="0" fontId="0" fillId="0" borderId="0" xfId="0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0" borderId="12" xfId="0" applyBorder="1"/>
    <xf numFmtId="0" fontId="4" fillId="0" borderId="7" xfId="0" applyFont="1" applyBorder="1"/>
    <xf numFmtId="0" fontId="4" fillId="0" borderId="4" xfId="0" applyFont="1" applyBorder="1"/>
    <xf numFmtId="0" fontId="5" fillId="0" borderId="0" xfId="0" applyFont="1"/>
    <xf numFmtId="0" fontId="5" fillId="0" borderId="6" xfId="0" applyFont="1" applyBorder="1"/>
    <xf numFmtId="0" fontId="0" fillId="0" borderId="6" xfId="0" applyBorder="1"/>
    <xf numFmtId="14" fontId="4" fillId="0" borderId="1" xfId="0" applyNumberFormat="1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vertical="center"/>
    </xf>
    <xf numFmtId="0" fontId="5" fillId="0" borderId="10" xfId="0" applyFont="1" applyBorder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0" fillId="0" borderId="9" xfId="0" applyBorder="1"/>
    <xf numFmtId="0" fontId="0" fillId="0" borderId="8" xfId="0" applyBorder="1"/>
    <xf numFmtId="14" fontId="4" fillId="0" borderId="8" xfId="0" applyNumberFormat="1" applyFont="1" applyBorder="1" applyAlignment="1">
      <alignment vertical="center"/>
    </xf>
    <xf numFmtId="0" fontId="4" fillId="0" borderId="8" xfId="0" applyFont="1" applyBorder="1"/>
    <xf numFmtId="0" fontId="4" fillId="0" borderId="5" xfId="0" applyFont="1" applyBorder="1"/>
    <xf numFmtId="14" fontId="4" fillId="0" borderId="1" xfId="1" applyNumberFormat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0" fontId="4" fillId="0" borderId="1" xfId="4" applyNumberFormat="1" applyFont="1" applyBorder="1" applyAlignment="1">
      <alignment horizontal="center"/>
    </xf>
    <xf numFmtId="44" fontId="4" fillId="0" borderId="0" xfId="1" applyFont="1"/>
    <xf numFmtId="0" fontId="0" fillId="0" borderId="11" xfId="0" applyBorder="1" applyAlignment="1">
      <alignment horizontal="left" vertical="top"/>
    </xf>
    <xf numFmtId="14" fontId="4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4" fontId="4" fillId="0" borderId="11" xfId="0" applyNumberFormat="1" applyFont="1" applyBorder="1" applyAlignment="1">
      <alignment horizontal="center" vertical="center"/>
    </xf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right"/>
    </xf>
    <xf numFmtId="0" fontId="0" fillId="0" borderId="0" xfId="0" applyAlignment="1">
      <alignment horizontal="right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0" fillId="0" borderId="10" xfId="0" applyBorder="1" applyAlignment="1">
      <alignment horizontal="left" vertical="top"/>
    </xf>
    <xf numFmtId="0" fontId="4" fillId="0" borderId="0" xfId="0" applyFont="1" applyAlignment="1">
      <alignment horizontal="right"/>
    </xf>
    <xf numFmtId="44" fontId="4" fillId="0" borderId="3" xfId="0" applyNumberFormat="1" applyFont="1" applyBorder="1"/>
    <xf numFmtId="44" fontId="7" fillId="0" borderId="1" xfId="0" applyNumberFormat="1" applyFont="1" applyBorder="1" applyAlignment="1">
      <alignment horizontal="left" vertical="top"/>
    </xf>
    <xf numFmtId="44" fontId="7" fillId="0" borderId="1" xfId="0" applyNumberFormat="1" applyFont="1" applyBorder="1" applyAlignment="1">
      <alignment horizontal="center" vertical="center"/>
    </xf>
    <xf numFmtId="44" fontId="6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right"/>
    </xf>
    <xf numFmtId="14" fontId="4" fillId="0" borderId="15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5" fillId="0" borderId="11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4" fontId="4" fillId="0" borderId="10" xfId="0" applyNumberFormat="1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14" fontId="4" fillId="0" borderId="9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0" fontId="5" fillId="0" borderId="6" xfId="0" applyFont="1" applyBorder="1" applyAlignment="1">
      <alignment horizontal="right"/>
    </xf>
    <xf numFmtId="0" fontId="5" fillId="0" borderId="11" xfId="0" applyFont="1" applyBorder="1" applyAlignment="1">
      <alignment horizontal="right" vertical="center"/>
    </xf>
    <xf numFmtId="5" fontId="5" fillId="0" borderId="13" xfId="1" applyNumberFormat="1" applyFont="1" applyBorder="1" applyAlignment="1">
      <alignment horizontal="center"/>
    </xf>
    <xf numFmtId="14" fontId="4" fillId="0" borderId="12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4" fontId="6" fillId="0" borderId="1" xfId="1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2" fontId="5" fillId="0" borderId="13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</cellXfs>
  <cellStyles count="5">
    <cellStyle name="Moeda" xfId="1" builtinId="4"/>
    <cellStyle name="Normal" xfId="0" builtinId="0"/>
    <cellStyle name="Normal 6" xfId="2" xr:uid="{64F11D02-0677-4924-80F2-63938808BCC3}"/>
    <cellStyle name="Porcentagem" xfId="4" builtinId="5"/>
    <cellStyle name="Vírgula 4" xfId="3" xr:uid="{50642DE8-0DB7-4669-AEA5-EC05F079B14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52"/>
  <sheetViews>
    <sheetView showGridLines="0" tabSelected="1" topLeftCell="A9" zoomScale="85" zoomScaleNormal="85" workbookViewId="0">
      <selection activeCell="I26" sqref="I26"/>
    </sheetView>
  </sheetViews>
  <sheetFormatPr defaultRowHeight="12.75" x14ac:dyDescent="0.2"/>
  <cols>
    <col min="2" max="2" width="15.6640625" bestFit="1" customWidth="1"/>
    <col min="3" max="3" width="6.83203125" bestFit="1" customWidth="1"/>
    <col min="4" max="5" width="34.1640625" customWidth="1"/>
    <col min="6" max="6" width="23.5" bestFit="1" customWidth="1"/>
    <col min="7" max="7" width="20.5" customWidth="1"/>
    <col min="8" max="8" width="20" customWidth="1"/>
    <col min="9" max="9" width="20.83203125" bestFit="1" customWidth="1"/>
    <col min="10" max="10" width="20.83203125" customWidth="1"/>
    <col min="11" max="11" width="26.83203125" customWidth="1"/>
    <col min="12" max="12" width="19.33203125" bestFit="1" customWidth="1"/>
    <col min="13" max="13" width="17.83203125" bestFit="1" customWidth="1"/>
    <col min="14" max="14" width="19.33203125" bestFit="1" customWidth="1"/>
    <col min="15" max="15" width="22.6640625" customWidth="1"/>
  </cols>
  <sheetData>
    <row r="1" spans="2:15" ht="12.75" customHeight="1" x14ac:dyDescent="0.2"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</row>
    <row r="2" spans="2:15" ht="12.75" customHeight="1" x14ac:dyDescent="0.2"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3" spans="2:15" ht="12.75" customHeight="1" x14ac:dyDescent="0.2"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</row>
    <row r="4" spans="2:15" ht="12.75" customHeight="1" x14ac:dyDescent="0.2"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</row>
    <row r="5" spans="2:15" ht="12.75" customHeight="1" x14ac:dyDescent="0.2"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</row>
    <row r="6" spans="2:15" ht="15" x14ac:dyDescent="0.2">
      <c r="B6" s="1"/>
      <c r="C6" s="1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5.75" x14ac:dyDescent="0.2">
      <c r="B7" s="68" t="s">
        <v>1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</row>
    <row r="8" spans="2:15" ht="15" x14ac:dyDescent="0.2">
      <c r="B8" s="1"/>
      <c r="C8" s="1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2:15" ht="15.75" x14ac:dyDescent="0.2">
      <c r="B9" s="68" t="s">
        <v>2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</row>
    <row r="10" spans="2:15" ht="15" x14ac:dyDescent="0.2">
      <c r="B10" s="1"/>
      <c r="C10" s="1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2:15" ht="15" x14ac:dyDescent="0.2">
      <c r="B11" s="8"/>
      <c r="C11" s="2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</row>
    <row r="12" spans="2:15" ht="15.75" x14ac:dyDescent="0.25">
      <c r="B12" s="79" t="s">
        <v>28</v>
      </c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1"/>
    </row>
    <row r="13" spans="2:15" ht="15.75" x14ac:dyDescent="0.25">
      <c r="B13" s="3"/>
      <c r="C13" s="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/>
    </row>
    <row r="14" spans="2:15" ht="15.75" x14ac:dyDescent="0.25">
      <c r="B14" s="44"/>
      <c r="C14" s="51" t="s">
        <v>11</v>
      </c>
      <c r="D14" s="51"/>
      <c r="E14" s="55"/>
      <c r="F14" s="55"/>
      <c r="G14" s="55"/>
      <c r="H14" s="55"/>
      <c r="O14" s="13"/>
    </row>
    <row r="15" spans="2:15" ht="15.75" x14ac:dyDescent="0.25">
      <c r="B15" s="44"/>
      <c r="C15" s="51" t="s">
        <v>12</v>
      </c>
      <c r="D15" s="51"/>
      <c r="E15" s="55"/>
      <c r="F15" s="55"/>
      <c r="G15" s="55"/>
      <c r="H15" s="55"/>
      <c r="O15" s="13"/>
    </row>
    <row r="16" spans="2:15" ht="15.75" x14ac:dyDescent="0.25">
      <c r="B16" s="44"/>
      <c r="C16" s="51" t="s">
        <v>3</v>
      </c>
      <c r="D16" s="51"/>
      <c r="E16" s="55"/>
      <c r="F16" s="55"/>
      <c r="G16" s="55"/>
      <c r="H16" s="55"/>
      <c r="O16" s="13"/>
    </row>
    <row r="17" spans="2:15" ht="15.75" x14ac:dyDescent="0.25">
      <c r="B17" s="44"/>
      <c r="C17" s="51" t="s">
        <v>13</v>
      </c>
      <c r="D17" s="51"/>
      <c r="E17" s="55"/>
      <c r="F17" s="55"/>
      <c r="G17" s="55"/>
      <c r="H17" s="55"/>
      <c r="K17" s="4"/>
      <c r="L17" s="51" t="s">
        <v>35</v>
      </c>
      <c r="M17" s="70"/>
      <c r="N17" s="38">
        <v>44538</v>
      </c>
      <c r="O17" s="13"/>
    </row>
    <row r="18" spans="2:15" ht="15.75" x14ac:dyDescent="0.25">
      <c r="B18" s="44"/>
      <c r="C18" s="51" t="s">
        <v>14</v>
      </c>
      <c r="D18" s="51"/>
      <c r="E18" s="57">
        <v>41690</v>
      </c>
      <c r="F18" s="57"/>
      <c r="G18" s="57"/>
      <c r="H18" s="57"/>
      <c r="K18" s="4"/>
      <c r="L18" s="51" t="s">
        <v>36</v>
      </c>
      <c r="M18" s="70"/>
      <c r="N18" s="39">
        <v>76.277775000000005</v>
      </c>
      <c r="O18" s="13"/>
    </row>
    <row r="19" spans="2:15" ht="15.75" x14ac:dyDescent="0.25">
      <c r="B19" s="44"/>
      <c r="C19" s="36"/>
      <c r="D19" s="36" t="s">
        <v>37</v>
      </c>
      <c r="E19" s="52" t="s">
        <v>38</v>
      </c>
      <c r="F19" s="53"/>
      <c r="G19" s="53"/>
      <c r="H19" s="54"/>
      <c r="K19" s="4"/>
      <c r="L19" s="51" t="s">
        <v>15</v>
      </c>
      <c r="M19" s="70"/>
      <c r="N19" s="14"/>
      <c r="O19" s="13"/>
    </row>
    <row r="20" spans="2:15" ht="15.75" customHeight="1" x14ac:dyDescent="0.25">
      <c r="B20" s="44"/>
      <c r="C20" s="58" t="s">
        <v>16</v>
      </c>
      <c r="D20" s="59"/>
      <c r="E20" s="56" t="s">
        <v>17</v>
      </c>
      <c r="F20" s="56"/>
      <c r="G20" s="56"/>
      <c r="H20" s="56"/>
      <c r="K20" s="31"/>
      <c r="L20" s="51" t="s">
        <v>4</v>
      </c>
      <c r="M20" s="70"/>
      <c r="N20" s="5"/>
      <c r="O20" s="13"/>
    </row>
    <row r="21" spans="2:15" ht="15" customHeight="1" x14ac:dyDescent="0.25">
      <c r="B21" s="41"/>
      <c r="C21" s="58"/>
      <c r="D21" s="59"/>
      <c r="E21" s="56"/>
      <c r="F21" s="56"/>
      <c r="G21" s="56"/>
      <c r="H21" s="56"/>
      <c r="K21" s="4"/>
      <c r="L21" s="51" t="s">
        <v>5</v>
      </c>
      <c r="M21" s="70"/>
      <c r="N21" s="47">
        <f>L46</f>
        <v>0</v>
      </c>
      <c r="O21" s="13"/>
    </row>
    <row r="22" spans="2:15" ht="15" customHeight="1" x14ac:dyDescent="0.25">
      <c r="B22" s="41"/>
      <c r="C22" s="58"/>
      <c r="D22" s="59"/>
      <c r="E22" s="56"/>
      <c r="F22" s="56"/>
      <c r="G22" s="56"/>
      <c r="H22" s="56"/>
      <c r="K22" s="30"/>
      <c r="L22" s="51" t="s">
        <v>6</v>
      </c>
      <c r="M22" s="70"/>
      <c r="N22" s="47">
        <f>N46</f>
        <v>0</v>
      </c>
      <c r="O22" s="13"/>
    </row>
    <row r="23" spans="2:15" ht="15.75" customHeight="1" x14ac:dyDescent="0.25">
      <c r="B23" s="44"/>
      <c r="C23" s="42"/>
      <c r="D23" s="43" t="s">
        <v>18</v>
      </c>
      <c r="E23" s="72">
        <f>D35*2</f>
        <v>0</v>
      </c>
      <c r="F23" s="72"/>
      <c r="G23" s="72"/>
      <c r="H23" s="72"/>
      <c r="K23" s="30"/>
      <c r="L23" s="51" t="s">
        <v>7</v>
      </c>
      <c r="M23" s="70"/>
      <c r="N23" s="48">
        <f>O48</f>
        <v>0</v>
      </c>
      <c r="O23" s="13"/>
    </row>
    <row r="24" spans="2:15" ht="15" customHeight="1" x14ac:dyDescent="0.25">
      <c r="B24" s="41"/>
      <c r="C24" s="42"/>
      <c r="D24" s="71" t="s">
        <v>19</v>
      </c>
      <c r="E24" s="73" t="str">
        <f>"Incorporação do ALE em folha 01/2013 = Salário Base  + " &amp;E23/ 2</f>
        <v>Incorporação do ALE em folha 01/2013 = Salário Base  + 0</v>
      </c>
      <c r="F24" s="74"/>
      <c r="G24" s="74"/>
      <c r="H24" s="75"/>
      <c r="K24" s="32"/>
      <c r="L24" s="51" t="s">
        <v>29</v>
      </c>
      <c r="M24" s="70"/>
      <c r="N24" s="15">
        <f>SUM(O46,O48,M46)</f>
        <v>0</v>
      </c>
      <c r="O24" s="13"/>
    </row>
    <row r="25" spans="2:15" ht="15" customHeight="1" x14ac:dyDescent="0.2">
      <c r="B25" s="41"/>
      <c r="C25" s="42"/>
      <c r="D25" s="71"/>
      <c r="E25" s="61" t="str">
        <f>"RETP = Salário Base "&amp;" + "&amp;E23/"2"</f>
        <v>RETP = Salário Base  + 0</v>
      </c>
      <c r="F25" s="62"/>
      <c r="G25" s="62"/>
      <c r="H25" s="63"/>
      <c r="J25" s="33"/>
      <c r="K25" s="33"/>
      <c r="O25" s="13"/>
    </row>
    <row r="26" spans="2:15" ht="15" customHeight="1" x14ac:dyDescent="0.2">
      <c r="B26" s="41"/>
      <c r="C26" s="42"/>
      <c r="D26" s="71"/>
      <c r="E26" s="61" t="str">
        <f>"Incorporação de acordo com o título executivo 01/2013 = Salário Base  + " &amp;E23</f>
        <v>Incorporação de acordo com o título executivo 01/2013 = Salário Base  + 0</v>
      </c>
      <c r="F26" s="62"/>
      <c r="G26" s="62"/>
      <c r="H26" s="63"/>
      <c r="I26" s="1"/>
      <c r="J26" s="1"/>
      <c r="K26" s="1"/>
      <c r="L26" s="37"/>
      <c r="M26" s="37"/>
      <c r="N26" s="37"/>
      <c r="O26" s="13"/>
    </row>
    <row r="27" spans="2:15" ht="15" customHeight="1" x14ac:dyDescent="0.2">
      <c r="B27" s="41"/>
      <c r="C27" s="42"/>
      <c r="D27" s="71"/>
      <c r="E27" s="61" t="str">
        <f>"RETP = Salário Base  + " &amp;E23</f>
        <v>RETP = Salário Base  + 0</v>
      </c>
      <c r="F27" s="62"/>
      <c r="G27" s="62"/>
      <c r="H27" s="63"/>
      <c r="I27" s="1"/>
      <c r="J27" s="1"/>
      <c r="K27" s="1"/>
      <c r="L27" s="1"/>
      <c r="M27" s="1"/>
      <c r="N27" s="1"/>
      <c r="O27" s="13"/>
    </row>
    <row r="28" spans="2:15" ht="15" customHeight="1" x14ac:dyDescent="0.2">
      <c r="B28" s="41"/>
      <c r="C28" s="42"/>
      <c r="D28" s="71"/>
      <c r="E28" s="64" t="str">
        <f>"Diferença Devida 01/2013 = " &amp;E23/ 2</f>
        <v>Diferença Devida 01/2013 = 0</v>
      </c>
      <c r="F28" s="65"/>
      <c r="G28" s="65"/>
      <c r="H28" s="66"/>
      <c r="I28" s="1"/>
      <c r="J28" s="1"/>
      <c r="K28" s="1"/>
      <c r="L28" s="1"/>
      <c r="M28" s="1"/>
      <c r="N28" s="1"/>
      <c r="O28" s="13"/>
    </row>
    <row r="29" spans="2:15" ht="15.75" x14ac:dyDescent="0.2">
      <c r="B29" s="17"/>
      <c r="C29" s="18"/>
      <c r="D29" s="16"/>
      <c r="E29" s="16"/>
      <c r="F29" s="16"/>
      <c r="G29" s="16"/>
      <c r="H29" s="1"/>
      <c r="I29" s="1"/>
      <c r="J29" s="1"/>
      <c r="K29" s="1"/>
      <c r="L29" s="1"/>
      <c r="M29" s="1"/>
      <c r="N29" s="1"/>
      <c r="O29" s="13"/>
    </row>
    <row r="30" spans="2:15" ht="15" x14ac:dyDescent="0.2">
      <c r="B30" s="19"/>
      <c r="C30" s="20"/>
      <c r="D30" s="21"/>
      <c r="E30" s="21"/>
      <c r="F30" s="21"/>
      <c r="G30" s="21"/>
      <c r="H30" s="22"/>
      <c r="I30" s="22"/>
      <c r="J30" s="22"/>
      <c r="K30" s="22"/>
      <c r="L30" s="22"/>
      <c r="M30" s="22"/>
      <c r="N30" s="22"/>
      <c r="O30" s="23"/>
    </row>
    <row r="31" spans="2:15" x14ac:dyDescent="0.2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5" ht="15.75" x14ac:dyDescent="0.25">
      <c r="B32" s="69" t="s">
        <v>20</v>
      </c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</row>
    <row r="33" spans="2:15" ht="15.75" customHeight="1" x14ac:dyDescent="0.2">
      <c r="B33" s="82" t="s">
        <v>8</v>
      </c>
      <c r="C33" s="60" t="s">
        <v>9</v>
      </c>
      <c r="D33" s="60" t="s">
        <v>21</v>
      </c>
      <c r="E33" s="60" t="s">
        <v>22</v>
      </c>
      <c r="F33" s="60" t="s">
        <v>23</v>
      </c>
      <c r="G33" s="60" t="s">
        <v>24</v>
      </c>
      <c r="H33" s="60" t="s">
        <v>25</v>
      </c>
      <c r="I33" s="60" t="s">
        <v>26</v>
      </c>
      <c r="J33" s="60" t="s">
        <v>30</v>
      </c>
      <c r="K33" s="60" t="s">
        <v>31</v>
      </c>
      <c r="L33" s="60" t="s">
        <v>10</v>
      </c>
      <c r="M33" s="60" t="s">
        <v>32</v>
      </c>
      <c r="N33" s="60" t="s">
        <v>33</v>
      </c>
      <c r="O33" s="82" t="s">
        <v>34</v>
      </c>
    </row>
    <row r="34" spans="2:15" ht="36" customHeight="1" x14ac:dyDescent="0.2">
      <c r="B34" s="83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83"/>
    </row>
    <row r="35" spans="2:15" ht="15" customHeight="1" x14ac:dyDescent="0.2">
      <c r="B35" s="24">
        <v>41365</v>
      </c>
      <c r="C35" s="25"/>
      <c r="D35" s="26"/>
      <c r="E35" s="26"/>
      <c r="F35" s="26">
        <f>IF(E35 = 0, D35, ((E35*D35)+D35))</f>
        <v>0</v>
      </c>
      <c r="G35" s="27">
        <f>F35</f>
        <v>0</v>
      </c>
      <c r="H35" s="27">
        <f>SUM(F35:G35)*(5%*C35)</f>
        <v>0</v>
      </c>
      <c r="I35" s="27" cm="1">
        <f t="array" ref="I35">IF(C35&gt;3, (F35:H35)/6, )</f>
        <v>0</v>
      </c>
      <c r="J35" s="27">
        <f t="shared" ref="J35:J45" si="0">SUM(F35:I35)</f>
        <v>0</v>
      </c>
      <c r="K35" s="40">
        <v>46.149828999999997</v>
      </c>
      <c r="L35" s="27">
        <f t="shared" ref="L35:L45" si="1">SUM(J35/K35)*$N$18</f>
        <v>0</v>
      </c>
      <c r="M35" s="27">
        <f>SUM(L35*11%)</f>
        <v>0</v>
      </c>
      <c r="N35" s="27"/>
      <c r="O35" s="27">
        <f>SUM(N35,L35,-M35)</f>
        <v>0</v>
      </c>
    </row>
    <row r="36" spans="2:15" ht="15" x14ac:dyDescent="0.2">
      <c r="B36" s="24">
        <v>41395</v>
      </c>
      <c r="C36" s="25"/>
      <c r="D36" s="26"/>
      <c r="E36" s="26"/>
      <c r="F36" s="26">
        <f t="shared" ref="F36:F45" si="2">IF(E36 = 0, D36, ((E36*D36)+D36))</f>
        <v>0</v>
      </c>
      <c r="G36" s="27">
        <f t="shared" ref="G36:G40" si="3">F36</f>
        <v>0</v>
      </c>
      <c r="H36" s="27">
        <f>SUM(F36:G36)*(5%*C36)</f>
        <v>0</v>
      </c>
      <c r="I36" s="27" cm="1">
        <f t="array" ref="I36">IF(C36&gt;3, (F36:H36)/6, )</f>
        <v>0</v>
      </c>
      <c r="J36" s="27">
        <f t="shared" si="0"/>
        <v>0</v>
      </c>
      <c r="K36" s="40">
        <v>46.385193000000001</v>
      </c>
      <c r="L36" s="27">
        <f t="shared" si="1"/>
        <v>0</v>
      </c>
      <c r="M36" s="27">
        <f t="shared" ref="M36:M45" si="4">SUM(L36*11%)</f>
        <v>0</v>
      </c>
      <c r="N36" s="27"/>
      <c r="O36" s="27">
        <f t="shared" ref="O36:O45" si="5">SUM(N36,L36,-M36)</f>
        <v>0</v>
      </c>
    </row>
    <row r="37" spans="2:15" ht="15" x14ac:dyDescent="0.2">
      <c r="B37" s="24">
        <v>41426</v>
      </c>
      <c r="C37" s="25"/>
      <c r="D37" s="26"/>
      <c r="E37" s="26"/>
      <c r="F37" s="26">
        <f t="shared" si="2"/>
        <v>0</v>
      </c>
      <c r="G37" s="27">
        <f t="shared" si="3"/>
        <v>0</v>
      </c>
      <c r="H37" s="27">
        <f t="shared" ref="H37:H40" si="6">SUM(F37:G37)*(5%*C37)</f>
        <v>0</v>
      </c>
      <c r="I37" s="27" cm="1">
        <f t="array" ref="I37">IF(C37&gt;3, (F37:H37)/6, )</f>
        <v>0</v>
      </c>
      <c r="J37" s="27">
        <f t="shared" si="0"/>
        <v>0</v>
      </c>
      <c r="K37" s="40">
        <v>46.598564000000003</v>
      </c>
      <c r="L37" s="27">
        <f t="shared" si="1"/>
        <v>0</v>
      </c>
      <c r="M37" s="27">
        <f t="shared" si="4"/>
        <v>0</v>
      </c>
      <c r="N37" s="27"/>
      <c r="O37" s="27">
        <f t="shared" si="5"/>
        <v>0</v>
      </c>
    </row>
    <row r="38" spans="2:15" ht="15" x14ac:dyDescent="0.2">
      <c r="B38" s="24">
        <v>41456</v>
      </c>
      <c r="C38" s="25"/>
      <c r="D38" s="26"/>
      <c r="E38" s="26"/>
      <c r="F38" s="26">
        <f t="shared" si="2"/>
        <v>0</v>
      </c>
      <c r="G38" s="27">
        <f t="shared" si="3"/>
        <v>0</v>
      </c>
      <c r="H38" s="27">
        <f t="shared" si="6"/>
        <v>0</v>
      </c>
      <c r="I38" s="27" cm="1">
        <f t="array" ref="I38">IF(C38&gt;3, (F38:H38)/6, )</f>
        <v>0</v>
      </c>
      <c r="J38" s="27">
        <f t="shared" si="0"/>
        <v>0</v>
      </c>
      <c r="K38" s="40">
        <v>46.775638000000001</v>
      </c>
      <c r="L38" s="27">
        <f t="shared" si="1"/>
        <v>0</v>
      </c>
      <c r="M38" s="27">
        <f t="shared" si="4"/>
        <v>0</v>
      </c>
      <c r="N38" s="27"/>
      <c r="O38" s="27">
        <f t="shared" si="5"/>
        <v>0</v>
      </c>
    </row>
    <row r="39" spans="2:15" ht="15" x14ac:dyDescent="0.2">
      <c r="B39" s="24">
        <v>41487</v>
      </c>
      <c r="C39" s="25"/>
      <c r="D39" s="26"/>
      <c r="E39" s="26"/>
      <c r="F39" s="26">
        <f t="shared" si="2"/>
        <v>0</v>
      </c>
      <c r="G39" s="27">
        <f t="shared" si="3"/>
        <v>0</v>
      </c>
      <c r="H39" s="27">
        <f t="shared" si="6"/>
        <v>0</v>
      </c>
      <c r="I39" s="27" cm="1">
        <f t="array" ref="I39">IF(C39&gt;3, (F39:H39)/6, )</f>
        <v>0</v>
      </c>
      <c r="J39" s="27">
        <f t="shared" si="0"/>
        <v>0</v>
      </c>
      <c r="K39" s="40">
        <v>46.80838</v>
      </c>
      <c r="L39" s="27">
        <f t="shared" si="1"/>
        <v>0</v>
      </c>
      <c r="M39" s="27">
        <f t="shared" si="4"/>
        <v>0</v>
      </c>
      <c r="N39" s="27"/>
      <c r="O39" s="27">
        <f t="shared" si="5"/>
        <v>0</v>
      </c>
    </row>
    <row r="40" spans="2:15" ht="15" x14ac:dyDescent="0.2">
      <c r="B40" s="24">
        <v>41518</v>
      </c>
      <c r="C40" s="25"/>
      <c r="D40" s="26"/>
      <c r="E40" s="26"/>
      <c r="F40" s="26">
        <f t="shared" si="2"/>
        <v>0</v>
      </c>
      <c r="G40" s="27">
        <f t="shared" si="3"/>
        <v>0</v>
      </c>
      <c r="H40" s="27">
        <f t="shared" si="6"/>
        <v>0</v>
      </c>
      <c r="I40" s="27" cm="1">
        <f t="array" ref="I40">IF(C40&gt;3, (F40:H40)/6, )</f>
        <v>0</v>
      </c>
      <c r="J40" s="27">
        <f t="shared" si="0"/>
        <v>0</v>
      </c>
      <c r="K40" s="40">
        <v>46.883273000000003</v>
      </c>
      <c r="L40" s="27">
        <f t="shared" si="1"/>
        <v>0</v>
      </c>
      <c r="M40" s="27">
        <f t="shared" si="4"/>
        <v>0</v>
      </c>
      <c r="N40" s="27"/>
      <c r="O40" s="27">
        <f t="shared" si="5"/>
        <v>0</v>
      </c>
    </row>
    <row r="41" spans="2:15" ht="15" x14ac:dyDescent="0.2">
      <c r="B41" s="24">
        <v>41548</v>
      </c>
      <c r="C41" s="25"/>
      <c r="D41" s="26"/>
      <c r="E41" s="28"/>
      <c r="F41" s="26">
        <f t="shared" si="2"/>
        <v>0</v>
      </c>
      <c r="G41" s="27">
        <f>F41</f>
        <v>0</v>
      </c>
      <c r="H41" s="27">
        <f>SUM(F41:G41)*(5%*C41)</f>
        <v>0</v>
      </c>
      <c r="I41" s="27" cm="1">
        <f t="array" ref="I41">IF(C41&gt;3, (F41:H41)/6, )</f>
        <v>0</v>
      </c>
      <c r="J41" s="27">
        <f t="shared" si="0"/>
        <v>0</v>
      </c>
      <c r="K41" s="40">
        <v>47.009856999999997</v>
      </c>
      <c r="L41" s="27">
        <f t="shared" si="1"/>
        <v>0</v>
      </c>
      <c r="M41" s="27">
        <f t="shared" si="4"/>
        <v>0</v>
      </c>
      <c r="N41" s="27"/>
      <c r="O41" s="27">
        <f t="shared" si="5"/>
        <v>0</v>
      </c>
    </row>
    <row r="42" spans="2:15" ht="15" x14ac:dyDescent="0.2">
      <c r="B42" s="24">
        <v>41579</v>
      </c>
      <c r="C42" s="25"/>
      <c r="D42" s="26"/>
      <c r="E42" s="28"/>
      <c r="F42" s="26">
        <f t="shared" si="2"/>
        <v>0</v>
      </c>
      <c r="G42" s="27">
        <f>F42</f>
        <v>0</v>
      </c>
      <c r="H42" s="27">
        <f>SUM(F42:G42)*(5%*C42)</f>
        <v>0</v>
      </c>
      <c r="I42" s="27" cm="1">
        <f t="array" ref="I42">IF(C42&gt;3, (F42:H42)/6, )</f>
        <v>0</v>
      </c>
      <c r="J42" s="27">
        <f t="shared" si="0"/>
        <v>0</v>
      </c>
      <c r="K42" s="40">
        <v>47.235503999999999</v>
      </c>
      <c r="L42" s="27">
        <f t="shared" si="1"/>
        <v>0</v>
      </c>
      <c r="M42" s="27">
        <f t="shared" si="4"/>
        <v>0</v>
      </c>
      <c r="N42" s="27"/>
      <c r="O42" s="27">
        <f t="shared" si="5"/>
        <v>0</v>
      </c>
    </row>
    <row r="43" spans="2:15" ht="15" x14ac:dyDescent="0.2">
      <c r="B43" s="24">
        <v>41609</v>
      </c>
      <c r="C43" s="25"/>
      <c r="D43" s="26"/>
      <c r="E43" s="28"/>
      <c r="F43" s="26">
        <f t="shared" si="2"/>
        <v>0</v>
      </c>
      <c r="G43" s="27">
        <f t="shared" ref="G43:G45" si="7">F43</f>
        <v>0</v>
      </c>
      <c r="H43" s="27">
        <f t="shared" ref="H43:H45" si="8">SUM(F43:G43)*(5%*C43)</f>
        <v>0</v>
      </c>
      <c r="I43" s="27" cm="1">
        <f t="array" ref="I43">IF(C43&gt;3, (F43:H43)/6, )</f>
        <v>0</v>
      </c>
      <c r="J43" s="27">
        <f t="shared" si="0"/>
        <v>0</v>
      </c>
      <c r="K43" s="40">
        <v>47.504745999999997</v>
      </c>
      <c r="L43" s="27">
        <f t="shared" si="1"/>
        <v>0</v>
      </c>
      <c r="M43" s="27">
        <f t="shared" si="4"/>
        <v>0</v>
      </c>
      <c r="N43" s="27"/>
      <c r="O43" s="27">
        <f t="shared" si="5"/>
        <v>0</v>
      </c>
    </row>
    <row r="44" spans="2:15" ht="15" x14ac:dyDescent="0.2">
      <c r="B44" s="24">
        <v>41609</v>
      </c>
      <c r="C44" s="25"/>
      <c r="D44" s="26"/>
      <c r="E44" s="28"/>
      <c r="F44" s="26">
        <f t="shared" si="2"/>
        <v>0</v>
      </c>
      <c r="G44" s="27">
        <f t="shared" si="7"/>
        <v>0</v>
      </c>
      <c r="H44" s="27">
        <f t="shared" si="8"/>
        <v>0</v>
      </c>
      <c r="I44" s="27" cm="1">
        <f t="array" ref="I44">IF(C44&gt;3, (F44:H44)/6, )</f>
        <v>0</v>
      </c>
      <c r="J44" s="27">
        <f t="shared" si="0"/>
        <v>0</v>
      </c>
      <c r="K44" s="40">
        <v>47.504745999999997</v>
      </c>
      <c r="L44" s="27">
        <f t="shared" si="1"/>
        <v>0</v>
      </c>
      <c r="M44" s="27">
        <f t="shared" si="4"/>
        <v>0</v>
      </c>
      <c r="N44" s="27"/>
      <c r="O44" s="27">
        <f t="shared" si="5"/>
        <v>0</v>
      </c>
    </row>
    <row r="45" spans="2:15" ht="15" x14ac:dyDescent="0.2">
      <c r="B45" s="24">
        <v>41640</v>
      </c>
      <c r="C45" s="25"/>
      <c r="D45" s="26"/>
      <c r="E45" s="28"/>
      <c r="F45" s="26">
        <f t="shared" si="2"/>
        <v>0</v>
      </c>
      <c r="G45" s="27">
        <f t="shared" si="7"/>
        <v>0</v>
      </c>
      <c r="H45" s="27">
        <f t="shared" si="8"/>
        <v>0</v>
      </c>
      <c r="I45" s="27" cm="1">
        <f t="array" ref="I45">IF(C45&gt;3, (F45:H45)/6, )</f>
        <v>0</v>
      </c>
      <c r="J45" s="27">
        <f t="shared" si="0"/>
        <v>0</v>
      </c>
      <c r="K45" s="40">
        <v>47.861030999999997</v>
      </c>
      <c r="L45" s="27">
        <f t="shared" si="1"/>
        <v>0</v>
      </c>
      <c r="M45" s="27">
        <f t="shared" si="4"/>
        <v>0</v>
      </c>
      <c r="N45" s="27"/>
      <c r="O45" s="27">
        <f t="shared" si="5"/>
        <v>0</v>
      </c>
    </row>
    <row r="46" spans="2:15" ht="15" x14ac:dyDescent="0.2">
      <c r="B46" s="45" t="s">
        <v>27</v>
      </c>
      <c r="C46" s="1"/>
      <c r="D46" s="29">
        <f>SUM(D35:D45)</f>
        <v>0</v>
      </c>
      <c r="E46" s="29"/>
      <c r="F46" s="29">
        <f>SUM(F35:F45)</f>
        <v>0</v>
      </c>
      <c r="G46" s="29">
        <f>SUM(G35:G45)</f>
        <v>0</v>
      </c>
      <c r="H46" s="29">
        <f>SUM(H35:H45)</f>
        <v>0</v>
      </c>
      <c r="I46" s="29">
        <f>SUM(I35:I45)</f>
        <v>0</v>
      </c>
      <c r="J46" s="29">
        <f>SUM(J35:J45)</f>
        <v>0</v>
      </c>
      <c r="K46" s="29"/>
      <c r="L46" s="29">
        <f>SUM(L35:L45)</f>
        <v>0</v>
      </c>
      <c r="M46" s="29">
        <f>SUM(M35:M45)</f>
        <v>0</v>
      </c>
      <c r="N46" s="29">
        <f>SUM(N35:N45)</f>
        <v>0</v>
      </c>
      <c r="O46" s="29">
        <f>SUM(O35:O45)</f>
        <v>0</v>
      </c>
    </row>
    <row r="47" spans="2:15" ht="15" x14ac:dyDescent="0.2">
      <c r="B47" s="45"/>
      <c r="C47" s="1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</row>
    <row r="48" spans="2:15" ht="15.75" x14ac:dyDescent="0.25">
      <c r="B48" s="1"/>
      <c r="C48" s="1"/>
      <c r="D48" s="1"/>
      <c r="E48" s="1"/>
      <c r="F48" s="1"/>
      <c r="H48" s="34"/>
      <c r="I48" s="34"/>
      <c r="J48" s="35"/>
      <c r="K48" s="76" t="str">
        <f ca="1">"Correção pela SELIC de 09/12/2021 a "&amp;TEXT(TODAY(),"dd/mm/aaaa")</f>
        <v>Correção pela SELIC de 09/12/2021 a 03/07/2025</v>
      </c>
      <c r="L48" s="76"/>
      <c r="M48" s="76"/>
      <c r="N48" s="50"/>
      <c r="O48" s="46">
        <f>SUM(L46*N48)</f>
        <v>0</v>
      </c>
    </row>
    <row r="51" spans="2:15" ht="15" x14ac:dyDescent="0.2">
      <c r="K51" s="77" t="s">
        <v>39</v>
      </c>
      <c r="L51" s="77"/>
      <c r="M51" s="77"/>
      <c r="N51" s="77"/>
      <c r="O51" s="49">
        <f>SUM(O48,O46)</f>
        <v>0</v>
      </c>
    </row>
    <row r="52" spans="2:15" ht="15.75" x14ac:dyDescent="0.2">
      <c r="B52" s="78" t="str">
        <f ca="1">"Araçatuba(SP), "&amp;TEXT(TODAY(),"dd/mm/aaaa")</f>
        <v>Araçatuba(SP), 03/07/2025</v>
      </c>
      <c r="C52" s="78"/>
      <c r="D52" s="78"/>
    </row>
  </sheetData>
  <mergeCells count="50">
    <mergeCell ref="K48:M48"/>
    <mergeCell ref="K51:N51"/>
    <mergeCell ref="B52:D52"/>
    <mergeCell ref="N33:N34"/>
    <mergeCell ref="B12:O12"/>
    <mergeCell ref="O33:O34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B1:O5"/>
    <mergeCell ref="B7:O7"/>
    <mergeCell ref="B9:O9"/>
    <mergeCell ref="B32:O32"/>
    <mergeCell ref="L18:M18"/>
    <mergeCell ref="L17:M17"/>
    <mergeCell ref="L19:M19"/>
    <mergeCell ref="L20:M20"/>
    <mergeCell ref="L21:M21"/>
    <mergeCell ref="L22:M22"/>
    <mergeCell ref="L23:M23"/>
    <mergeCell ref="D24:D28"/>
    <mergeCell ref="C18:D18"/>
    <mergeCell ref="E23:H23"/>
    <mergeCell ref="E24:H24"/>
    <mergeCell ref="L24:M24"/>
    <mergeCell ref="L33:L34"/>
    <mergeCell ref="M33:M34"/>
    <mergeCell ref="E25:H25"/>
    <mergeCell ref="E26:H26"/>
    <mergeCell ref="E27:H27"/>
    <mergeCell ref="E28:H28"/>
    <mergeCell ref="E20:H22"/>
    <mergeCell ref="E18:H18"/>
    <mergeCell ref="C20:D22"/>
    <mergeCell ref="E17:H17"/>
    <mergeCell ref="E16:H16"/>
    <mergeCell ref="C17:D17"/>
    <mergeCell ref="C14:D14"/>
    <mergeCell ref="C15:D15"/>
    <mergeCell ref="C16:D16"/>
    <mergeCell ref="E19:H19"/>
    <mergeCell ref="E15:H15"/>
    <mergeCell ref="E14:H14"/>
  </mergeCells>
  <pageMargins left="0.7" right="0.7" top="0.75" bottom="0.75" header="0.3" footer="0.3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Kaio Kinoshita</cp:lastModifiedBy>
  <cp:lastPrinted>2025-04-10T17:32:50Z</cp:lastPrinted>
  <dcterms:created xsi:type="dcterms:W3CDTF">2023-06-19T20:50:59Z</dcterms:created>
  <dcterms:modified xsi:type="dcterms:W3CDTF">2025-07-03T14:24:05Z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2023-05-22T00:00:00Z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2023-06-19T00:00:00Z</vt:filetime>
  </property>
  <property fmtid="{D5CDD505-2E9C-101B-9397-08002B2CF9AE}" pid="5" name="Producer">
    <vt:lpwstr>Microsoft® Excel® 2010</vt:lpwstr>
  </property>
</Properties>
</file>